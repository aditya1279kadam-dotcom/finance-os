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a Kadam\Downloads\"/>
    </mc:Choice>
  </mc:AlternateContent>
  <xr:revisionPtr revIDLastSave="0" documentId="13_ncr:1_{CCC79D2D-C8EB-4FB7-B870-2681ADE489C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ate Card" sheetId="1" r:id="rId1"/>
    <sheet name="Holidays" sheetId="2" r:id="rId2"/>
    <sheet name="Resource List" sheetId="3" r:id="rId3"/>
    <sheet name="Jira Dump" sheetId="4" r:id="rId4"/>
    <sheet name="Jira 2.0" sheetId="5" r:id="rId5"/>
    <sheet name="Overhead Pool" sheetId="6" r:id="rId6"/>
    <sheet name="Final Re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7" l="1"/>
  <c r="N2" i="7"/>
  <c r="M2" i="7"/>
  <c r="P2" i="4"/>
  <c r="M2" i="4"/>
  <c r="L2" i="4"/>
  <c r="K3" i="4"/>
  <c r="K4" i="4"/>
  <c r="K5" i="4"/>
  <c r="K2" i="4"/>
  <c r="G2" i="3"/>
  <c r="M3" i="7"/>
  <c r="I3" i="7"/>
  <c r="I2" i="7"/>
  <c r="J2" i="7" s="1"/>
  <c r="H3" i="5"/>
  <c r="H2" i="5"/>
  <c r="N5" i="4"/>
  <c r="O5" i="4" s="1"/>
  <c r="J5" i="4"/>
  <c r="I5" i="4"/>
  <c r="N4" i="4"/>
  <c r="O4" i="4" s="1"/>
  <c r="J4" i="4"/>
  <c r="I4" i="4"/>
  <c r="N3" i="4"/>
  <c r="O3" i="4" s="1"/>
  <c r="J3" i="4"/>
  <c r="I3" i="4"/>
  <c r="N2" i="4"/>
  <c r="O2" i="4" s="1"/>
  <c r="J2" i="4"/>
  <c r="I2" i="4"/>
  <c r="G4" i="3"/>
  <c r="G3" i="3"/>
  <c r="N3" i="7" l="1"/>
  <c r="P3" i="7" s="1"/>
  <c r="O2" i="7"/>
  <c r="L5" i="4"/>
  <c r="M5" i="4" s="1"/>
  <c r="P5" i="4" s="1"/>
  <c r="L3" i="4"/>
  <c r="M3" i="4" s="1"/>
  <c r="P3" i="4" s="1"/>
  <c r="L4" i="4"/>
  <c r="M4" i="4" s="1"/>
  <c r="P4" i="4" s="1"/>
  <c r="J3" i="7"/>
  <c r="O3" i="7" l="1"/>
  <c r="T2" i="7"/>
  <c r="Q2" i="7"/>
  <c r="R2" i="7"/>
  <c r="S2" i="7"/>
  <c r="T3" i="7"/>
  <c r="S3" i="7"/>
  <c r="R3" i="7"/>
  <c r="Q3" i="7"/>
  <c r="U3" i="7" l="1"/>
  <c r="V3" i="7" s="1"/>
  <c r="W3" i="7" s="1"/>
  <c r="U2" i="7"/>
  <c r="V2" i="7" s="1"/>
  <c r="W2" i="7" s="1"/>
</calcChain>
</file>

<file path=xl/sharedStrings.xml><?xml version="1.0" encoding="utf-8"?>
<sst xmlns="http://schemas.openxmlformats.org/spreadsheetml/2006/main" count="128" uniqueCount="92">
  <si>
    <t>Name</t>
  </si>
  <si>
    <t>Monthly Salary</t>
  </si>
  <si>
    <t>Alice</t>
  </si>
  <si>
    <t>Bob</t>
  </si>
  <si>
    <t>Charlie</t>
  </si>
  <si>
    <t>Description</t>
  </si>
  <si>
    <t>2026-01-26</t>
  </si>
  <si>
    <t>Republic Day</t>
  </si>
  <si>
    <t>2026-03-01</t>
  </si>
  <si>
    <t>Sample Holiday</t>
  </si>
  <si>
    <t>Date of Joining</t>
  </si>
  <si>
    <t>Date of Separation</t>
  </si>
  <si>
    <t>Period Start</t>
  </si>
  <si>
    <t>Period End</t>
  </si>
  <si>
    <t>Required Hours (Formula)</t>
  </si>
  <si>
    <t>2024-01-01</t>
  </si>
  <si>
    <t>2026-01-01</t>
  </si>
  <si>
    <t>2026-03-31</t>
  </si>
  <si>
    <t>Author</t>
  </si>
  <si>
    <t>Issue</t>
  </si>
  <si>
    <t>Quarter</t>
  </si>
  <si>
    <t>Time Spent (hrs)</t>
  </si>
  <si>
    <t>Project Category</t>
  </si>
  <si>
    <t>Started Day</t>
  </si>
  <si>
    <t>Project Key (formula)</t>
  </si>
  <si>
    <t>Total Jira Hours (per author)</t>
  </si>
  <si>
    <t>Required Hours (lookup)</t>
  </si>
  <si>
    <t>Remark (To cap?)</t>
  </si>
  <si>
    <t>Capped Hours (calc)</t>
  </si>
  <si>
    <t>Monthly Salary (lookup)</t>
  </si>
  <si>
    <t>Hourly Rate</t>
  </si>
  <si>
    <t>Row Cost</t>
  </si>
  <si>
    <t>SEYL-101</t>
  </si>
  <si>
    <t>FY26 Q4</t>
  </si>
  <si>
    <t>Implementation</t>
  </si>
  <si>
    <t>2026-01-05</t>
  </si>
  <si>
    <t>SEYL-102</t>
  </si>
  <si>
    <t>2026-02-10</t>
  </si>
  <si>
    <t>ABCD-201</t>
  </si>
  <si>
    <t>Consulting</t>
  </si>
  <si>
    <t>2026-01-15</t>
  </si>
  <si>
    <t>SEYL-103</t>
  </si>
  <si>
    <t>2026-03-05</t>
  </si>
  <si>
    <t>SR Number</t>
  </si>
  <si>
    <t>Customer Name</t>
  </si>
  <si>
    <t>Product</t>
  </si>
  <si>
    <t>Category</t>
  </si>
  <si>
    <t>Category Code</t>
  </si>
  <si>
    <t>Client Code</t>
  </si>
  <si>
    <t>Sequence</t>
  </si>
  <si>
    <t>PO Amount</t>
  </si>
  <si>
    <t>Revenue FY25</t>
  </si>
  <si>
    <t>Revenue FY26</t>
  </si>
  <si>
    <t>Total Signed HR Cost</t>
  </si>
  <si>
    <t>Seylan Bank</t>
  </si>
  <si>
    <t>Lending</t>
  </si>
  <si>
    <t>IMP</t>
  </si>
  <si>
    <t>SEYL</t>
  </si>
  <si>
    <t>Alpha Corp</t>
  </si>
  <si>
    <t>Payments</t>
  </si>
  <si>
    <t>CON</t>
  </si>
  <si>
    <t>ABCD</t>
  </si>
  <si>
    <t>HR Overhead Total</t>
  </si>
  <si>
    <t>OPE Total</t>
  </si>
  <si>
    <t>Infra Total</t>
  </si>
  <si>
    <t>Commission Total</t>
  </si>
  <si>
    <t>Project</t>
  </si>
  <si>
    <t>Project Key</t>
  </si>
  <si>
    <t>Project Status</t>
  </si>
  <si>
    <t>Cumulative Revenue</t>
  </si>
  <si>
    <t>Budget To Go</t>
  </si>
  <si>
    <t>Cost Till Last Quarter</t>
  </si>
  <si>
    <t>Opening Remaining Signed HR Cost</t>
  </si>
  <si>
    <t>Cost Incurred Current Quarter</t>
  </si>
  <si>
    <t>Total Direct Cost Till Date</t>
  </si>
  <si>
    <t>Closing Remaining Signed HR Cost</t>
  </si>
  <si>
    <t>Allocated HR Overhead</t>
  </si>
  <si>
    <t>OPE Cost</t>
  </si>
  <si>
    <t>Infra Cost</t>
  </si>
  <si>
    <t>Partnership Commission</t>
  </si>
  <si>
    <t>Total Fully Loaded Cost</t>
  </si>
  <si>
    <t>Gross Profit</t>
  </si>
  <si>
    <t>Gross Margin %</t>
  </si>
  <si>
    <t>Seylan Implementation</t>
  </si>
  <si>
    <t>SEYL-IMP-01</t>
  </si>
  <si>
    <t>Active</t>
  </si>
  <si>
    <t>Alpha Consulting</t>
  </si>
  <si>
    <t>ABCD-CON-01</t>
  </si>
  <si>
    <t>Jira Name</t>
  </si>
  <si>
    <t xml:space="preserve">Date </t>
  </si>
  <si>
    <t>Epic</t>
  </si>
  <si>
    <t>Original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</si>
</sst>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4" sqref="C4"/>
    </sheetView>
  </sheetViews>
  <sheetFormatPr defaultRowHeight="14.4" x14ac:dyDescent="0.3"/>
  <sheetData>
    <row r="1" spans="1:3" x14ac:dyDescent="0.3">
      <c r="A1" s="1" t="s">
        <v>0</v>
      </c>
      <c r="B1" s="1" t="s">
        <v>88</v>
      </c>
      <c r="C1" s="1" t="s">
        <v>1</v>
      </c>
    </row>
    <row r="2" spans="1:3" x14ac:dyDescent="0.3">
      <c r="A2" t="s">
        <v>2</v>
      </c>
      <c r="C2">
        <v>80000</v>
      </c>
    </row>
    <row r="3" spans="1:3" x14ac:dyDescent="0.3">
      <c r="A3" t="s">
        <v>3</v>
      </c>
      <c r="C3">
        <v>60000</v>
      </c>
    </row>
    <row r="4" spans="1:3" x14ac:dyDescent="0.3">
      <c r="A4" t="s">
        <v>4</v>
      </c>
      <c r="C4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89</v>
      </c>
      <c r="B1" s="1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H8" sqref="H8"/>
    </sheetView>
  </sheetViews>
  <sheetFormatPr defaultRowHeight="14.4" x14ac:dyDescent="0.3"/>
  <sheetData>
    <row r="1" spans="1:7" x14ac:dyDescent="0.3">
      <c r="A1" s="1" t="s">
        <v>0</v>
      </c>
      <c r="B1" s="1" t="s">
        <v>88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t="s">
        <v>2</v>
      </c>
      <c r="C2" t="s">
        <v>15</v>
      </c>
      <c r="E2" t="s">
        <v>16</v>
      </c>
      <c r="F2" t="s">
        <v>17</v>
      </c>
      <c r="G2">
        <f>NETWORKDAYS.INTL(E2,F2,1, Holidays!A2:A100)*8</f>
        <v>504</v>
      </c>
    </row>
    <row r="3" spans="1:7" x14ac:dyDescent="0.3">
      <c r="A3" t="s">
        <v>3</v>
      </c>
      <c r="C3" t="s">
        <v>15</v>
      </c>
      <c r="E3" t="s">
        <v>16</v>
      </c>
      <c r="F3" t="s">
        <v>17</v>
      </c>
      <c r="G3">
        <f>NETWORKDAYS.INTL(E3,F3,1, Holidays!A2:A100)*8</f>
        <v>504</v>
      </c>
    </row>
    <row r="4" spans="1:7" x14ac:dyDescent="0.3">
      <c r="A4" t="s">
        <v>4</v>
      </c>
      <c r="C4" t="s">
        <v>15</v>
      </c>
      <c r="E4" t="s">
        <v>16</v>
      </c>
      <c r="F4" t="s">
        <v>17</v>
      </c>
      <c r="G4">
        <f>NETWORKDAYS.INTL(E4,F4,1, Holidays!A2:A100)*8</f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F9" sqref="F9"/>
    </sheetView>
  </sheetViews>
  <sheetFormatPr defaultRowHeight="14.4" x14ac:dyDescent="0.3"/>
  <sheetData>
    <row r="1" spans="1:16" x14ac:dyDescent="0.3">
      <c r="A1" s="1" t="s">
        <v>18</v>
      </c>
      <c r="B1" s="1" t="s">
        <v>66</v>
      </c>
      <c r="C1" s="1" t="s">
        <v>19</v>
      </c>
      <c r="D1" s="1" t="s">
        <v>90</v>
      </c>
      <c r="E1" s="1" t="s">
        <v>91</v>
      </c>
      <c r="F1" s="1" t="s">
        <v>22</v>
      </c>
      <c r="G1" s="1" t="s">
        <v>23</v>
      </c>
      <c r="H1" s="1" t="s">
        <v>21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 t="s">
        <v>2</v>
      </c>
      <c r="C2" t="s">
        <v>32</v>
      </c>
      <c r="D2" t="s">
        <v>33</v>
      </c>
      <c r="F2" t="s">
        <v>34</v>
      </c>
      <c r="G2" t="s">
        <v>35</v>
      </c>
      <c r="H2">
        <v>90</v>
      </c>
      <c r="I2" t="str">
        <f>LEFT(C2,FIND("-",C2)-1)</f>
        <v>SEYL</v>
      </c>
      <c r="J2">
        <f>SUMIFS(H:H, A:A, A2)</f>
        <v>190</v>
      </c>
      <c r="K2">
        <f>VLOOKUP(A2, 'Resource List'!A:G, 7, FALSE)</f>
        <v>504</v>
      </c>
      <c r="L2" t="str">
        <f>IF(J2&gt;K2, "To cap", "")</f>
        <v/>
      </c>
      <c r="M2">
        <f>IF(L2="To cap", (H2/J2)*K2, H2)</f>
        <v>90</v>
      </c>
      <c r="N2">
        <f>VLOOKUP(A2, 'Rate Card'!A:C, 2, FALSE)</f>
        <v>0</v>
      </c>
      <c r="O2">
        <f>IF(N2="", "", N2/22/8)</f>
        <v>0</v>
      </c>
      <c r="P2">
        <f>M2 * O2</f>
        <v>0</v>
      </c>
    </row>
    <row r="3" spans="1:16" x14ac:dyDescent="0.3">
      <c r="A3" t="s">
        <v>2</v>
      </c>
      <c r="C3" t="s">
        <v>36</v>
      </c>
      <c r="D3" t="s">
        <v>33</v>
      </c>
      <c r="F3" t="s">
        <v>34</v>
      </c>
      <c r="G3" t="s">
        <v>37</v>
      </c>
      <c r="H3">
        <v>100</v>
      </c>
      <c r="I3" t="str">
        <f>LEFT(C3,FIND("-",C3)-1)</f>
        <v>SEYL</v>
      </c>
      <c r="J3">
        <f>SUMIFS(H:H, A:A, A3)</f>
        <v>190</v>
      </c>
      <c r="K3">
        <f>VLOOKUP(A3, 'Resource List'!A:G, 7, FALSE)</f>
        <v>504</v>
      </c>
      <c r="L3" t="str">
        <f>IF(J3&gt;K3, "To cap", "")</f>
        <v/>
      </c>
      <c r="M3">
        <f>IF(L3="To cap", (H3/J3)*K3, H3)</f>
        <v>100</v>
      </c>
      <c r="N3">
        <f>VLOOKUP(A3, 'Rate Card'!A:C, 2, FALSE)</f>
        <v>0</v>
      </c>
      <c r="O3">
        <f>IF(N3="", "", N3/22/8)</f>
        <v>0</v>
      </c>
      <c r="P3">
        <f>M3 * O3</f>
        <v>0</v>
      </c>
    </row>
    <row r="4" spans="1:16" x14ac:dyDescent="0.3">
      <c r="A4" t="s">
        <v>3</v>
      </c>
      <c r="C4" t="s">
        <v>38</v>
      </c>
      <c r="D4" t="s">
        <v>33</v>
      </c>
      <c r="F4" t="s">
        <v>39</v>
      </c>
      <c r="G4" t="s">
        <v>40</v>
      </c>
      <c r="H4">
        <v>120</v>
      </c>
      <c r="I4" t="str">
        <f>LEFT(C4,FIND("-",C4)-1)</f>
        <v>ABCD</v>
      </c>
      <c r="J4">
        <f>SUMIFS(H:H, A:A, A4)</f>
        <v>120</v>
      </c>
      <c r="K4">
        <f>VLOOKUP(A4, 'Resource List'!A:G, 7, FALSE)</f>
        <v>504</v>
      </c>
      <c r="L4" t="str">
        <f>IF(J4&gt;K4, "To cap", "")</f>
        <v/>
      </c>
      <c r="M4">
        <f>IF(L4="To cap", (H4/J4)*K4, H4)</f>
        <v>120</v>
      </c>
      <c r="N4">
        <f>VLOOKUP(A4, 'Rate Card'!A:C, 2, FALSE)</f>
        <v>0</v>
      </c>
      <c r="O4">
        <f>IF(N4="", "", N4/22/8)</f>
        <v>0</v>
      </c>
      <c r="P4">
        <f>M4 * O4</f>
        <v>0</v>
      </c>
    </row>
    <row r="5" spans="1:16" x14ac:dyDescent="0.3">
      <c r="A5" t="s">
        <v>4</v>
      </c>
      <c r="C5" t="s">
        <v>41</v>
      </c>
      <c r="D5" t="s">
        <v>33</v>
      </c>
      <c r="F5" t="s">
        <v>34</v>
      </c>
      <c r="G5" t="s">
        <v>42</v>
      </c>
      <c r="H5">
        <v>150</v>
      </c>
      <c r="I5" t="str">
        <f>LEFT(C5,FIND("-",C5)-1)</f>
        <v>SEYL</v>
      </c>
      <c r="J5">
        <f>SUMIFS(H:H, A:A, A5)</f>
        <v>150</v>
      </c>
      <c r="K5">
        <f>VLOOKUP(A5, 'Resource List'!A:G, 7, FALSE)</f>
        <v>504</v>
      </c>
      <c r="L5" t="str">
        <f>IF(J5&gt;K5, "To cap", "")</f>
        <v/>
      </c>
      <c r="M5">
        <f>IF(L5="To cap", (H5/J5)*K5, H5)</f>
        <v>150</v>
      </c>
      <c r="N5">
        <f>VLOOKUP(A5, 'Rate Card'!A:C, 2, FALSE)</f>
        <v>0</v>
      </c>
      <c r="O5">
        <f>IF(N5="", "", N5/22/8)</f>
        <v>0</v>
      </c>
      <c r="P5">
        <f>M5 * O5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activeCell="L1" sqref="L1"/>
    </sheetView>
  </sheetViews>
  <sheetFormatPr defaultRowHeight="14.4" x14ac:dyDescent="0.3"/>
  <sheetData>
    <row r="1" spans="1:12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24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3">
      <c r="A2">
        <v>1</v>
      </c>
      <c r="B2" t="s">
        <v>54</v>
      </c>
      <c r="C2" t="s">
        <v>55</v>
      </c>
      <c r="D2" t="s">
        <v>34</v>
      </c>
      <c r="E2" t="s">
        <v>56</v>
      </c>
      <c r="F2" t="s">
        <v>57</v>
      </c>
      <c r="G2">
        <v>1</v>
      </c>
      <c r="H2" t="str">
        <f>F2 &amp; "-" &amp; E2 &amp; "-" &amp; TEXT(G2,"00")</f>
        <v>SEYL-IMP-01</v>
      </c>
      <c r="I2">
        <v>500000</v>
      </c>
      <c r="J2">
        <v>200000</v>
      </c>
      <c r="K2">
        <v>100000</v>
      </c>
      <c r="L2">
        <v>300000</v>
      </c>
    </row>
    <row r="3" spans="1:12" x14ac:dyDescent="0.3">
      <c r="A3">
        <v>2</v>
      </c>
      <c r="B3" t="s">
        <v>58</v>
      </c>
      <c r="C3" t="s">
        <v>59</v>
      </c>
      <c r="D3" t="s">
        <v>39</v>
      </c>
      <c r="E3" t="s">
        <v>60</v>
      </c>
      <c r="F3" t="s">
        <v>61</v>
      </c>
      <c r="G3">
        <v>1</v>
      </c>
      <c r="H3" t="str">
        <f>F3 &amp; "-" &amp; E3 &amp; "-" &amp; TEXT(G3,"00")</f>
        <v>ABCD-CON-01</v>
      </c>
      <c r="I3">
        <v>300000</v>
      </c>
      <c r="J3">
        <v>100000</v>
      </c>
      <c r="K3">
        <v>50000</v>
      </c>
      <c r="L3">
        <v>150000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G16" sqref="G16"/>
    </sheetView>
  </sheetViews>
  <sheetFormatPr defaultRowHeight="14.4" x14ac:dyDescent="0.3"/>
  <sheetData>
    <row r="1" spans="1:5" x14ac:dyDescent="0.3">
      <c r="A1" s="1" t="s">
        <v>20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">
      <c r="A2" t="s">
        <v>33</v>
      </c>
      <c r="B2">
        <v>50000</v>
      </c>
      <c r="C2">
        <v>25000</v>
      </c>
      <c r="D2">
        <v>15000</v>
      </c>
      <c r="E2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"/>
  <sheetViews>
    <sheetView tabSelected="1" topLeftCell="C1" workbookViewId="0">
      <selection activeCell="K6" sqref="K6"/>
    </sheetView>
  </sheetViews>
  <sheetFormatPr defaultRowHeight="14.4" x14ac:dyDescent="0.3"/>
  <sheetData>
    <row r="1" spans="1:23" x14ac:dyDescent="0.3">
      <c r="A1" s="1" t="s">
        <v>66</v>
      </c>
      <c r="B1" s="1" t="s">
        <v>45</v>
      </c>
      <c r="C1" s="1" t="s">
        <v>46</v>
      </c>
      <c r="D1" s="1" t="s">
        <v>67</v>
      </c>
      <c r="E1" s="1" t="s">
        <v>68</v>
      </c>
      <c r="F1" s="1" t="s">
        <v>50</v>
      </c>
      <c r="G1" s="1" t="s">
        <v>51</v>
      </c>
      <c r="H1" s="1" t="s">
        <v>52</v>
      </c>
      <c r="I1" s="1" t="s">
        <v>69</v>
      </c>
      <c r="J1" s="1" t="s">
        <v>70</v>
      </c>
      <c r="K1" s="1" t="s">
        <v>53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</row>
    <row r="2" spans="1:23" x14ac:dyDescent="0.3">
      <c r="A2" t="s">
        <v>83</v>
      </c>
      <c r="B2" t="s">
        <v>55</v>
      </c>
      <c r="C2" t="s">
        <v>34</v>
      </c>
      <c r="D2" t="s">
        <v>84</v>
      </c>
      <c r="E2" t="s">
        <v>85</v>
      </c>
      <c r="F2">
        <v>500000</v>
      </c>
      <c r="G2">
        <v>200000</v>
      </c>
      <c r="H2">
        <v>100000</v>
      </c>
      <c r="I2">
        <f>G2+H2</f>
        <v>300000</v>
      </c>
      <c r="J2">
        <f>F2-I2</f>
        <v>200000</v>
      </c>
      <c r="K2">
        <v>300000</v>
      </c>
      <c r="L2">
        <v>150000</v>
      </c>
      <c r="M2">
        <f>K2-L2</f>
        <v>150000</v>
      </c>
      <c r="N2">
        <f>SUMIFS('Jira Dump'!P:P, 'Jira Dump'!I:I, D2, 'Jira Dump'!D:D, "FY26 Q4")</f>
        <v>0</v>
      </c>
      <c r="O2">
        <f>L2+N2</f>
        <v>150000</v>
      </c>
      <c r="P2">
        <f>M2-N2</f>
        <v>150000</v>
      </c>
      <c r="Q2">
        <f>O2 / SUM($O$2:$O$3) * 'Overhead Pool'!B2</f>
        <v>34090.909090909088</v>
      </c>
      <c r="R2">
        <f>O2 / SUM($O$2:$O$3) * 'Overhead Pool'!C2</f>
        <v>17045.454545454544</v>
      </c>
      <c r="S2">
        <f>O2 / SUM($O$2:$O$3) * 'Overhead Pool'!D2</f>
        <v>10227.272727272726</v>
      </c>
      <c r="T2">
        <f>O2 / SUM($O$2:$O$3) * 'Overhead Pool'!E2</f>
        <v>6818.181818181818</v>
      </c>
      <c r="U2">
        <f>O2 + Q2 + R2 + S2 + T2</f>
        <v>218181.81818181821</v>
      </c>
      <c r="V2">
        <f>I2 - U2</f>
        <v>81818.181818181794</v>
      </c>
      <c r="W2">
        <f>IF(I2=0,0,V2/I2)</f>
        <v>0.27272727272727265</v>
      </c>
    </row>
    <row r="3" spans="1:23" x14ac:dyDescent="0.3">
      <c r="A3" t="s">
        <v>86</v>
      </c>
      <c r="B3" t="s">
        <v>59</v>
      </c>
      <c r="C3" t="s">
        <v>39</v>
      </c>
      <c r="D3" t="s">
        <v>87</v>
      </c>
      <c r="E3" t="s">
        <v>85</v>
      </c>
      <c r="F3">
        <v>300000</v>
      </c>
      <c r="G3">
        <v>100000</v>
      </c>
      <c r="H3">
        <v>50000</v>
      </c>
      <c r="I3">
        <f>G3+H3</f>
        <v>150000</v>
      </c>
      <c r="J3">
        <f>F3-I3</f>
        <v>150000</v>
      </c>
      <c r="K3">
        <v>150000</v>
      </c>
      <c r="L3">
        <v>70000</v>
      </c>
      <c r="M3">
        <f>K3-L3</f>
        <v>80000</v>
      </c>
      <c r="N3">
        <f>SUMIFS('Jira Dump'!P:P, 'Jira Dump'!I:I, D3, 'Jira Dump'!D:D, "FY26 Q4")</f>
        <v>0</v>
      </c>
      <c r="O3">
        <f>L3+N3</f>
        <v>70000</v>
      </c>
      <c r="P3">
        <f>M3-N3</f>
        <v>80000</v>
      </c>
      <c r="Q3">
        <f>O3 / SUM($O$2:$O$3) * 'Overhead Pool'!B2</f>
        <v>15909.090909090908</v>
      </c>
      <c r="R3">
        <f>O3 / SUM($O$2:$O$3) * 'Overhead Pool'!C2</f>
        <v>7954.545454545454</v>
      </c>
      <c r="S3">
        <f>O3 / SUM($O$2:$O$3) * 'Overhead Pool'!D2</f>
        <v>4772.727272727273</v>
      </c>
      <c r="T3">
        <f>O3 / SUM($O$2:$O$3) * 'Overhead Pool'!E2</f>
        <v>3181.818181818182</v>
      </c>
      <c r="U3">
        <f>O3 + Q3 + R3 + S3 + T3</f>
        <v>101818.18181818182</v>
      </c>
      <c r="V3">
        <f>I3 - U3</f>
        <v>48181.818181818177</v>
      </c>
      <c r="W3">
        <f>IF(I3=0,0,V3/I3)</f>
        <v>0.32121212121212117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Rate Card</vt:lpstr>
      <vt:lpstr>Holidays</vt:lpstr>
      <vt:lpstr>Resource List</vt:lpstr>
      <vt:lpstr>Jira Dump</vt:lpstr>
      <vt:lpstr>Jira 2.0</vt:lpstr>
      <vt:lpstr>Overhead Pool</vt:lpstr>
      <vt:lpstr>Final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Kadam</cp:lastModifiedBy>
  <dcterms:created xsi:type="dcterms:W3CDTF">2026-02-28T22:05:33Z</dcterms:created>
  <dcterms:modified xsi:type="dcterms:W3CDTF">2026-02-28T22:13:31Z</dcterms:modified>
</cp:coreProperties>
</file>